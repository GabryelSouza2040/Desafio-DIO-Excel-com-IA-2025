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1f1a9524be809d/Área de Trabalho/Excel com IA/"/>
    </mc:Choice>
  </mc:AlternateContent>
  <xr:revisionPtr revIDLastSave="717" documentId="11_AD4D361C20488DEA4E38A06164DF6D945BDEDD8F" xr6:coauthVersionLast="47" xr6:coauthVersionMax="47" xr10:uidLastSave="{48F54443-4A50-4058-8C82-DF71CFD7C284}"/>
  <bookViews>
    <workbookView xWindow="-105" yWindow="0" windowWidth="14610" windowHeight="15585" tabRatio="605" xr2:uid="{00000000-000D-0000-FFFF-FFFF00000000}"/>
  </bookViews>
  <sheets>
    <sheet name="APP" sheetId="1" r:id="rId1"/>
    <sheet name="Tabela de Apoio" sheetId="3" r:id="rId2"/>
  </sheets>
  <definedNames>
    <definedName name="aporte">APP!$D$17</definedName>
    <definedName name="patrimonioacumulad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4" i="1" l="1"/>
  <c r="D93" i="1"/>
  <c r="C94" i="1"/>
  <c r="C95" i="1"/>
  <c r="D95" i="1" s="1"/>
  <c r="C96" i="1"/>
  <c r="D96" i="1" s="1"/>
  <c r="C97" i="1"/>
  <c r="D97" i="1" s="1"/>
  <c r="C93" i="1"/>
  <c r="C67" i="1"/>
  <c r="D67" i="1" s="1"/>
  <c r="D73" i="1" s="1"/>
  <c r="H5" i="3"/>
  <c r="C36" i="1"/>
  <c r="D36" i="1" s="1"/>
  <c r="D24" i="1"/>
  <c r="C25" i="1"/>
  <c r="D25" i="1" s="1"/>
  <c r="C24" i="1"/>
  <c r="D21" i="1"/>
  <c r="D20" i="1"/>
  <c r="D14" i="1"/>
  <c r="D69" i="1"/>
  <c r="D70" i="1"/>
  <c r="D71" i="1"/>
  <c r="D72" i="1"/>
  <c r="D68" i="1"/>
  <c r="C68" i="1"/>
  <c r="C69" i="1"/>
  <c r="C70" i="1"/>
  <c r="C71" i="1"/>
  <c r="C72" i="1"/>
  <c r="C64" i="1"/>
  <c r="A16" i="3"/>
  <c r="A17" i="3"/>
  <c r="A18" i="3"/>
  <c r="A19" i="3"/>
  <c r="A20" i="3"/>
  <c r="A15" i="3"/>
  <c r="A10" i="3"/>
  <c r="A11" i="3"/>
  <c r="A12" i="3"/>
  <c r="A13" i="3"/>
  <c r="A14" i="3"/>
  <c r="A9" i="3"/>
  <c r="A4" i="3"/>
  <c r="A5" i="3"/>
  <c r="A6" i="3"/>
  <c r="A7" i="3"/>
  <c r="A8" i="3"/>
  <c r="A3" i="3"/>
  <c r="C33" i="1"/>
  <c r="C26" i="1"/>
  <c r="D26" i="1" s="1"/>
  <c r="C27" i="1"/>
  <c r="D27" i="1" s="1"/>
  <c r="C28" i="1"/>
  <c r="D28" i="1" s="1"/>
  <c r="C41" i="1" l="1"/>
  <c r="D41" i="1" s="1"/>
  <c r="C40" i="1"/>
  <c r="D40" i="1" s="1"/>
  <c r="C39" i="1"/>
  <c r="D39" i="1" s="1"/>
  <c r="C38" i="1"/>
  <c r="D38" i="1" s="1"/>
  <c r="C37" i="1"/>
  <c r="D37" i="1" s="1"/>
  <c r="D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Gabryel Souza</author>
  </authors>
  <commentList>
    <comment ref="D12" authorId="0" shapeId="0" xr:uid="{FE5E144B-512E-45F5-8ACF-3301A6202AD7}">
      <text>
        <r>
          <rPr>
            <b/>
            <sz val="9"/>
            <color indexed="81"/>
            <rFont val="Segoe UI"/>
            <family val="2"/>
          </rPr>
          <t>Digite o seu salário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3" authorId="0" shapeId="0" xr:uid="{C1FD7E7D-07B9-4EF2-BF4A-3135E3ED6C53}">
      <text>
        <r>
          <rPr>
            <b/>
            <sz val="9"/>
            <color indexed="81"/>
            <rFont val="Segoe UI"/>
            <family val="2"/>
          </rPr>
          <t>Digite o rendimento da Cartiera</t>
        </r>
      </text>
    </comment>
    <comment ref="D17" authorId="0" shapeId="0" xr:uid="{2591C93B-F39B-4376-8CD1-4A240E426BB0}">
      <text>
        <r>
          <rPr>
            <sz val="9"/>
            <color indexed="81"/>
            <rFont val="Segoe UI"/>
            <family val="2"/>
          </rPr>
          <t>Insira o valor desejado para investir</t>
        </r>
      </text>
    </comment>
  </commentList>
</comments>
</file>

<file path=xl/sharedStrings.xml><?xml version="1.0" encoding="utf-8"?>
<sst xmlns="http://schemas.openxmlformats.org/spreadsheetml/2006/main" count="94" uniqueCount="40">
  <si>
    <t>Quanto investir por mês?</t>
  </si>
  <si>
    <t>Patrimônio acumulado?</t>
  </si>
  <si>
    <t>Dividendos Mensais?</t>
  </si>
  <si>
    <t>Por Quantos Anos?</t>
  </si>
  <si>
    <t>Taxa de Rendimentos mensal?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</si>
  <si>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</si>
  <si>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</si>
  <si>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</si>
  <si>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</si>
  <si>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</si>
  <si>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</si>
  <si>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</si>
  <si>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Rendimento Carteira</t>
  </si>
  <si>
    <t>Salário</t>
  </si>
  <si>
    <t>CONFIGURAÇÔES</t>
  </si>
  <si>
    <t>INVESTIMENTO INICIAL</t>
  </si>
  <si>
    <t>Agressivo</t>
  </si>
  <si>
    <t>VALOR A SER INVESTICO POR MÊS</t>
  </si>
  <si>
    <t>PERFIL</t>
  </si>
  <si>
    <t>TIPO DE FII</t>
  </si>
  <si>
    <t>Percentual Sugerido</t>
  </si>
  <si>
    <t>Valores</t>
  </si>
  <si>
    <t>PAPEL</t>
  </si>
  <si>
    <t>TIJOLO</t>
  </si>
  <si>
    <t>DESENVOLVIMENTO</t>
  </si>
  <si>
    <t>FOFs</t>
  </si>
  <si>
    <t>HÍBRIDOS</t>
  </si>
  <si>
    <t>HOTELARIAS</t>
  </si>
  <si>
    <t>Conservador</t>
  </si>
  <si>
    <t>CHAVE:</t>
  </si>
  <si>
    <t>Moderado</t>
  </si>
  <si>
    <t>Moderado-TIJOLO</t>
  </si>
  <si>
    <t>Sugestão de Investimento (30%)</t>
  </si>
  <si>
    <t>TESTE DE FORMULA: PROCV</t>
  </si>
  <si>
    <t>%:</t>
  </si>
  <si>
    <t>PERFIL:</t>
  </si>
  <si>
    <t>TIPO DE FII:</t>
  </si>
  <si>
    <t>SIMULAÇÃO: SUGESTÃO DE INVESTIMENTO EM 30%</t>
  </si>
  <si>
    <t>Tipo de FII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</si>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</sst>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0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64" fontId="9" fillId="0" borderId="7" xfId="1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0" fontId="9" fillId="0" borderId="9" xfId="0" applyNumberFormat="1" applyFont="1" applyBorder="1" applyAlignment="1">
      <alignment horizontal="center" vertical="center"/>
    </xf>
    <xf numFmtId="164" fontId="10" fillId="0" borderId="7" xfId="1" applyNumberFormat="1" applyFont="1" applyBorder="1" applyAlignment="1">
      <alignment horizontal="center" vertical="center"/>
    </xf>
    <xf numFmtId="10" fontId="10" fillId="0" borderId="9" xfId="0" applyNumberFormat="1" applyFont="1" applyBorder="1" applyAlignment="1">
      <alignment horizontal="center" vertical="center"/>
    </xf>
    <xf numFmtId="164" fontId="10" fillId="0" borderId="12" xfId="1" applyNumberFormat="1" applyFont="1" applyBorder="1" applyAlignment="1">
      <alignment horizontal="center" vertical="center"/>
    </xf>
    <xf numFmtId="0" fontId="2" fillId="2" borderId="0" xfId="3" applyAlignment="1">
      <alignment vertical="center"/>
    </xf>
    <xf numFmtId="0" fontId="2" fillId="2" borderId="0" xfId="3" applyAlignment="1">
      <alignment horizontal="center" vertical="center"/>
    </xf>
    <xf numFmtId="0" fontId="3" fillId="4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3" fillId="6" borderId="0" xfId="0" applyFont="1" applyFill="1" applyAlignment="1">
      <alignment horizontal="center"/>
    </xf>
    <xf numFmtId="0" fontId="0" fillId="6" borderId="0" xfId="0" applyFill="1"/>
    <xf numFmtId="0" fontId="0" fillId="0" borderId="21" xfId="0" applyBorder="1"/>
    <xf numFmtId="0" fontId="0" fillId="0" borderId="21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2" fillId="2" borderId="0" xfId="2" applyFont="1" applyFill="1"/>
    <xf numFmtId="164" fontId="0" fillId="4" borderId="0" xfId="0" applyNumberFormat="1" applyFill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indent="3"/>
    </xf>
    <xf numFmtId="0" fontId="7" fillId="0" borderId="5" xfId="0" applyFont="1" applyBorder="1" applyAlignment="1">
      <alignment horizontal="left" indent="3"/>
    </xf>
    <xf numFmtId="0" fontId="6" fillId="3" borderId="2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indent="3"/>
    </xf>
    <xf numFmtId="0" fontId="7" fillId="0" borderId="4" xfId="0" applyFont="1" applyBorder="1" applyAlignment="1">
      <alignment horizontal="left" indent="3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7" fillId="8" borderId="6" xfId="0" applyFont="1" applyFill="1" applyBorder="1" applyAlignment="1">
      <alignment horizontal="left" indent="3"/>
    </xf>
    <xf numFmtId="0" fontId="7" fillId="8" borderId="4" xfId="0" applyFont="1" applyFill="1" applyBorder="1" applyAlignment="1">
      <alignment horizontal="left" indent="3"/>
    </xf>
    <xf numFmtId="0" fontId="7" fillId="8" borderId="8" xfId="0" applyFont="1" applyFill="1" applyBorder="1" applyAlignment="1">
      <alignment horizontal="left" indent="3"/>
    </xf>
    <xf numFmtId="0" fontId="7" fillId="8" borderId="5" xfId="0" applyFont="1" applyFill="1" applyBorder="1" applyAlignment="1">
      <alignment horizontal="left" indent="3"/>
    </xf>
    <xf numFmtId="0" fontId="7" fillId="8" borderId="10" xfId="0" applyFont="1" applyFill="1" applyBorder="1" applyAlignment="1">
      <alignment horizontal="left" indent="3"/>
    </xf>
    <xf numFmtId="0" fontId="7" fillId="8" borderId="11" xfId="0" applyFont="1" applyFill="1" applyBorder="1" applyAlignment="1">
      <alignment horizontal="left" indent="3"/>
    </xf>
    <xf numFmtId="0" fontId="8" fillId="8" borderId="8" xfId="0" applyFont="1" applyFill="1" applyBorder="1" applyAlignment="1">
      <alignment horizontal="left" indent="3"/>
    </xf>
    <xf numFmtId="0" fontId="8" fillId="8" borderId="5" xfId="0" applyFont="1" applyFill="1" applyBorder="1" applyAlignment="1">
      <alignment horizontal="left" indent="3"/>
    </xf>
    <xf numFmtId="8" fontId="9" fillId="8" borderId="9" xfId="0" applyNumberFormat="1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 indent="3"/>
    </xf>
    <xf numFmtId="0" fontId="8" fillId="8" borderId="11" xfId="0" applyFont="1" applyFill="1" applyBorder="1" applyAlignment="1">
      <alignment horizontal="left" indent="3"/>
    </xf>
    <xf numFmtId="8" fontId="9" fillId="8" borderId="12" xfId="0" applyNumberFormat="1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left" indent="3"/>
    </xf>
    <xf numFmtId="8" fontId="10" fillId="8" borderId="13" xfId="0" applyNumberFormat="1" applyFont="1" applyFill="1" applyBorder="1" applyAlignment="1">
      <alignment horizontal="center"/>
    </xf>
    <xf numFmtId="8" fontId="10" fillId="8" borderId="16" xfId="0" applyNumberFormat="1" applyFont="1" applyFill="1" applyBorder="1" applyAlignment="1">
      <alignment horizontal="center"/>
    </xf>
    <xf numFmtId="0" fontId="7" fillId="8" borderId="17" xfId="0" applyFont="1" applyFill="1" applyBorder="1" applyAlignment="1">
      <alignment horizontal="left" indent="3"/>
    </xf>
    <xf numFmtId="8" fontId="10" fillId="8" borderId="14" xfId="0" applyNumberFormat="1" applyFont="1" applyFill="1" applyBorder="1" applyAlignment="1">
      <alignment horizontal="center"/>
    </xf>
    <xf numFmtId="0" fontId="7" fillId="8" borderId="18" xfId="0" applyFont="1" applyFill="1" applyBorder="1" applyAlignment="1">
      <alignment horizontal="left" indent="3"/>
    </xf>
    <xf numFmtId="8" fontId="10" fillId="8" borderId="19" xfId="0" applyNumberFormat="1" applyFont="1" applyFill="1" applyBorder="1" applyAlignment="1">
      <alignment horizontal="center"/>
    </xf>
    <xf numFmtId="8" fontId="10" fillId="8" borderId="20" xfId="0" applyNumberFormat="1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0" fillId="0" borderId="0" xfId="2" applyFont="1" applyAlignment="1">
      <alignment horizontal="center"/>
    </xf>
    <xf numFmtId="9" fontId="4" fillId="6" borderId="0" xfId="0" applyNumberFormat="1" applyFont="1" applyFill="1"/>
    <xf numFmtId="164" fontId="0" fillId="0" borderId="0" xfId="0" applyNumberFormat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9" fontId="4" fillId="0" borderId="0" xfId="0" applyNumberFormat="1" applyFont="1"/>
    <xf numFmtId="8" fontId="10" fillId="8" borderId="25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2-4E6A-BD7E-C124320D3B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2-4E6A-BD7E-C124320D3B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2-4E6A-BD7E-C124320D3B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82-4E6A-BD7E-C124320D3B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82-4E6A-BD7E-C124320D3B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B-BE82-4E6A-BD7E-C124320D3B4E}"/>
              </c:ext>
            </c:extLst>
          </c:dPt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2-4F15-80E5-4FDED0F731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APP!$C$66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APP!$B$67:$B$72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APP!$C$67:$C$72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75-47AA-9226-9192CDE0261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267890</xdr:colOff>
      <xdr:row>0</xdr:row>
      <xdr:rowOff>53580</xdr:rowOff>
    </xdr:from>
    <xdr:to>
      <xdr:col>4</xdr:col>
      <xdr:colOff>315515</xdr:colOff>
      <xdr:row>9</xdr:row>
      <xdr:rowOff>124085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FB6DE7-4A09-4ED0-8DE4-ECE1BBB949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785"/>
        <a:stretch>
          <a:fillRect/>
        </a:stretch>
      </xdr:blipFill>
      <xdr:spPr>
        <a:xfrm>
          <a:off x="267890" y="53580"/>
          <a:ext cx="6530578" cy="1785005"/>
        </a:xfrm>
        <a:prstGeom prst="rect">
          <a:avLst/>
        </a:prstGeom>
      </xdr:spPr>
    </xdr:pic>
    <xdr:clientData/>
  </xdr:twoCellAnchor>
  <xdr:twoCellAnchor>
    <xdr:from>
      <xdr:col>1</xdr:col>
      <xdr:colOff>5953</xdr:colOff>
      <xdr:row>43</xdr:row>
      <xdr:rowOff>12501</xdr:rowOff>
    </xdr:from>
    <xdr:to>
      <xdr:col>4</xdr:col>
      <xdr:colOff>17859</xdr:colOff>
      <xdr:row>58</xdr:row>
      <xdr:rowOff>125014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477148-CF21-79C0-F146-6582F2E9F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101203</xdr:colOff>
      <xdr:row>74</xdr:row>
      <xdr:rowOff>23812</xdr:rowOff>
    </xdr:from>
    <xdr:to>
      <xdr:col>4</xdr:col>
      <xdr:colOff>113109</xdr:colOff>
      <xdr:row>89</xdr:row>
      <xdr:rowOff>136325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5FBB27-F4DC-4660-A262-A7448E0C8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0:XFC98"/>
  <sheetViews>
    <sheetView showGridLines="0" tabSelected="1" topLeftCell="A55" zoomScale="70" zoomScaleNormal="70" workbookViewId="0">
      <selection activeCell="E101" sqref="E101"/>
    </sheetView>
  </sheetViews>
  <sheetFormatPr defaultColWidth="0" defaultRowHeight="15" x14ac:dyDescent="0.25"/>
  <cols>
    <col min="1" max="1" width="9.140625" customWidth="1"/>
    <col min="2" max="2" width="50.85546875" customWidth="1"/>
    <col min="3" max="3" width="19.140625" bestFit="1" customWidth="1"/>
    <col min="4" max="4" width="18.140625" customWidth="1"/>
    <col min="5" max="5" width="5.140625" customWidth="1"/>
    <col min="6" max="6" width="4.5703125" customWidth="1"/>
    <col min="7" max="7" width="3" customWidth="1"/>
    <col min="8" max="8" width="3.7109375" customWidth="1"/>
    <col min="9" max="9" width="7.7109375" hidden="1"/>
    <col min="10" max="10" width="6.7109375" hidden="1"/>
    <col min="11" max="11" width="2.42578125" hidden="1"/>
    <col min="12" max="16383" width="9.140625" hidden="1"/>
    <col min="16384" max="16384" width="0.28515625" hidden="1" customWidth="1"/>
  </cols>
  <sheetData>
    <row r="10" spans="2:4" ht="15.75" thickBot="1" x14ac:dyDescent="0.3"/>
    <row r="11" spans="2:4" ht="30.75" x14ac:dyDescent="0.25">
      <c r="B11" s="35" t="s">
        <v>14</v>
      </c>
      <c r="C11" s="36"/>
      <c r="D11" s="37"/>
    </row>
    <row r="12" spans="2:4" ht="18" thickBot="1" x14ac:dyDescent="0.35">
      <c r="B12" s="40" t="s">
        <v>13</v>
      </c>
      <c r="C12" s="41"/>
      <c r="D12" s="7">
        <v>2000</v>
      </c>
    </row>
    <row r="13" spans="2:4" ht="18" thickBot="1" x14ac:dyDescent="0.35">
      <c r="B13" s="42" t="s">
        <v>12</v>
      </c>
      <c r="C13" s="43"/>
      <c r="D13" s="8">
        <v>6.0000000000000001E-3</v>
      </c>
    </row>
    <row r="14" spans="2:4" ht="18" thickBot="1" x14ac:dyDescent="0.35">
      <c r="B14" s="44" t="s">
        <v>32</v>
      </c>
      <c r="C14" s="45"/>
      <c r="D14" s="9">
        <f>D12*30%</f>
        <v>600</v>
      </c>
    </row>
    <row r="15" spans="2:4" ht="15.75" thickBot="1" x14ac:dyDescent="0.3"/>
    <row r="16" spans="2:4" ht="33" customHeight="1" x14ac:dyDescent="0.25">
      <c r="B16" s="28" t="s">
        <v>15</v>
      </c>
      <c r="C16" s="29"/>
      <c r="D16" s="32"/>
    </row>
    <row r="17" spans="1:4" ht="18" thickBot="1" x14ac:dyDescent="0.35">
      <c r="B17" s="33" t="s">
        <v>0</v>
      </c>
      <c r="C17" s="34"/>
      <c r="D17" s="4">
        <v>200</v>
      </c>
    </row>
    <row r="18" spans="1:4" ht="18" thickBot="1" x14ac:dyDescent="0.35">
      <c r="B18" s="30" t="s">
        <v>3</v>
      </c>
      <c r="C18" s="31"/>
      <c r="D18" s="5">
        <v>5</v>
      </c>
    </row>
    <row r="19" spans="1:4" ht="18" thickBot="1" x14ac:dyDescent="0.35">
      <c r="B19" s="30" t="s">
        <v>4</v>
      </c>
      <c r="C19" s="31"/>
      <c r="D19" s="6">
        <v>1.0789999999999999E-2</v>
      </c>
    </row>
    <row r="20" spans="1:4" ht="18" thickBot="1" x14ac:dyDescent="0.35">
      <c r="B20" s="46" t="s">
        <v>1</v>
      </c>
      <c r="C20" s="47"/>
      <c r="D20" s="48">
        <f>FV(taxa_mensal,qtd_anos*12,aporte*-1)</f>
        <v>16755.382799697527</v>
      </c>
    </row>
    <row r="21" spans="1:4" ht="18" thickBot="1" x14ac:dyDescent="0.35">
      <c r="B21" s="49" t="s">
        <v>2</v>
      </c>
      <c r="C21" s="50"/>
      <c r="D21" s="51">
        <f>patrimonioacumulado*rendimento_carteira</f>
        <v>100.53229679818516</v>
      </c>
    </row>
    <row r="22" spans="1:4" ht="15.75" thickBot="1" x14ac:dyDescent="0.3">
      <c r="D22" t="s">
        <v>39</v>
      </c>
    </row>
    <row r="23" spans="1:4" ht="30.75" x14ac:dyDescent="0.25">
      <c r="B23" s="28" t="s">
        <v>10</v>
      </c>
      <c r="C23" s="29"/>
      <c r="D23" s="3" t="s">
        <v>11</v>
      </c>
    </row>
    <row r="24" spans="1:4" ht="18" thickBot="1" x14ac:dyDescent="0.35">
      <c r="A24" s="1">
        <v>2</v>
      </c>
      <c r="B24" s="52" t="s">
        <v>5</v>
      </c>
      <c r="C24" s="53">
        <f>FV($D$19,$A24*12,$D$17*-1)</f>
        <v>5445.5254595290435</v>
      </c>
      <c r="D24" s="54">
        <f>C24*rendimento_carteira</f>
        <v>32.673152757174265</v>
      </c>
    </row>
    <row r="25" spans="1:4" ht="18" thickBot="1" x14ac:dyDescent="0.35">
      <c r="A25" s="1">
        <v>5</v>
      </c>
      <c r="B25" s="55" t="s">
        <v>6</v>
      </c>
      <c r="C25" s="56">
        <f>FV($D$19,$A25*12,$D$17*-1)</f>
        <v>16755.382799697527</v>
      </c>
      <c r="D25" s="54">
        <f>C25*rendimento_carteira</f>
        <v>100.53229679818516</v>
      </c>
    </row>
    <row r="26" spans="1:4" ht="18" thickBot="1" x14ac:dyDescent="0.35">
      <c r="A26" s="1">
        <v>10</v>
      </c>
      <c r="B26" s="55" t="s">
        <v>7</v>
      </c>
      <c r="C26" s="56">
        <f>FV($D$19,$A26*12,$D$17*-1)</f>
        <v>48656.842506034438</v>
      </c>
      <c r="D26" s="54">
        <f>C26*rendimento_carteira</f>
        <v>291.94105503620665</v>
      </c>
    </row>
    <row r="27" spans="1:4" ht="18" thickBot="1" x14ac:dyDescent="0.35">
      <c r="A27" s="1">
        <v>20</v>
      </c>
      <c r="B27" s="55" t="s">
        <v>8</v>
      </c>
      <c r="C27" s="56">
        <f>FV($D$19,$A27*12,$D$17*-1)</f>
        <v>225039.68001941612</v>
      </c>
      <c r="D27" s="54">
        <f>C27*rendimento_carteira</f>
        <v>1350.2380801164968</v>
      </c>
    </row>
    <row r="28" spans="1:4" ht="18" thickBot="1" x14ac:dyDescent="0.35">
      <c r="A28" s="1">
        <v>30</v>
      </c>
      <c r="B28" s="57" t="s">
        <v>9</v>
      </c>
      <c r="C28" s="58">
        <f>FV($D$19,$A28*12,$D$17*-1)</f>
        <v>864433.93100094295</v>
      </c>
      <c r="D28" s="59">
        <f>C28*rendimento_carteira</f>
        <v>5186.6035860056581</v>
      </c>
    </row>
    <row r="32" spans="1:4" x14ac:dyDescent="0.25">
      <c r="B32" s="10" t="s">
        <v>18</v>
      </c>
      <c r="C32" s="11" t="s">
        <v>16</v>
      </c>
      <c r="D32" s="10"/>
    </row>
    <row r="33" spans="2:4" x14ac:dyDescent="0.25">
      <c r="B33" s="12" t="s">
        <v>17</v>
      </c>
      <c r="C33" s="13">
        <f>aporte</f>
        <v>200</v>
      </c>
      <c r="D33" s="14"/>
    </row>
    <row r="35" spans="2:4" x14ac:dyDescent="0.25">
      <c r="B35" s="15" t="s">
        <v>19</v>
      </c>
      <c r="C35" s="15" t="s">
        <v>20</v>
      </c>
      <c r="D35" s="15" t="s">
        <v>21</v>
      </c>
    </row>
    <row r="36" spans="2:4" x14ac:dyDescent="0.25">
      <c r="B36" s="2" t="s">
        <v>22</v>
      </c>
      <c r="C36" s="19">
        <f>VLOOKUP($C$32&amp;"-"&amp;B36,'Tabela de Apoio'!$A:$D,4,FALSE)</f>
        <v>0.5</v>
      </c>
      <c r="D36" s="24">
        <f>C36*$C$33</f>
        <v>100</v>
      </c>
    </row>
    <row r="37" spans="2:4" x14ac:dyDescent="0.25">
      <c r="B37" s="2" t="s">
        <v>23</v>
      </c>
      <c r="C37" s="19">
        <f>VLOOKUP($C$32&amp;"-"&amp;B37,'Tabela de Apoio'!$A:$D,4,FALSE)</f>
        <v>0.1</v>
      </c>
      <c r="D37" s="24">
        <f t="shared" ref="D37:D41" si="0">C37*$C$33</f>
        <v>20</v>
      </c>
    </row>
    <row r="38" spans="2:4" x14ac:dyDescent="0.25">
      <c r="B38" s="2" t="s">
        <v>26</v>
      </c>
      <c r="C38" s="19">
        <f>VLOOKUP($C$32&amp;"-"&amp;B38,'Tabela de Apoio'!$A:$D,4,FALSE)</f>
        <v>0.05</v>
      </c>
      <c r="D38" s="24">
        <f t="shared" si="0"/>
        <v>10</v>
      </c>
    </row>
    <row r="39" spans="2:4" x14ac:dyDescent="0.25">
      <c r="B39" s="2" t="s">
        <v>25</v>
      </c>
      <c r="C39" s="19">
        <f>VLOOKUP($C$32&amp;"-"&amp;B39,'Tabela de Apoio'!$A:$D,4,FALSE)</f>
        <v>0.05</v>
      </c>
      <c r="D39" s="24">
        <f t="shared" si="0"/>
        <v>10</v>
      </c>
    </row>
    <row r="40" spans="2:4" x14ac:dyDescent="0.25">
      <c r="B40" s="2" t="s">
        <v>24</v>
      </c>
      <c r="C40" s="19">
        <f>VLOOKUP($C$32&amp;"-"&amp;B40,'Tabela de Apoio'!$A:$D,4,FALSE)</f>
        <v>0.2</v>
      </c>
      <c r="D40" s="24">
        <f t="shared" si="0"/>
        <v>40</v>
      </c>
    </row>
    <row r="41" spans="2:4" x14ac:dyDescent="0.25">
      <c r="B41" s="2" t="s">
        <v>27</v>
      </c>
      <c r="C41" s="19">
        <f>VLOOKUP($C$32&amp;"-"&amp;B41,'Tabela de Apoio'!$A:$D,4,FALSE)</f>
        <v>0.1</v>
      </c>
      <c r="D41" s="24">
        <f t="shared" si="0"/>
        <v>20</v>
      </c>
    </row>
    <row r="42" spans="2:4" x14ac:dyDescent="0.25">
      <c r="B42" s="16"/>
      <c r="C42" s="16"/>
      <c r="D42" s="27">
        <f>SUM(D36:D41)</f>
        <v>200</v>
      </c>
    </row>
    <row r="60" spans="2:4" ht="15.75" thickBot="1" x14ac:dyDescent="0.3"/>
    <row r="61" spans="2:4" ht="30.75" customHeight="1" thickBot="1" x14ac:dyDescent="0.3">
      <c r="B61" s="60" t="s">
        <v>37</v>
      </c>
      <c r="C61" s="61"/>
      <c r="D61" s="62"/>
    </row>
    <row r="63" spans="2:4" x14ac:dyDescent="0.25">
      <c r="B63" s="10" t="s">
        <v>18</v>
      </c>
      <c r="C63" s="11" t="s">
        <v>16</v>
      </c>
      <c r="D63" s="10"/>
    </row>
    <row r="64" spans="2:4" x14ac:dyDescent="0.25">
      <c r="B64" s="12" t="s">
        <v>17</v>
      </c>
      <c r="C64" s="13">
        <f>sugestao_investimento</f>
        <v>600</v>
      </c>
      <c r="D64" s="14"/>
    </row>
    <row r="66" spans="2:4" x14ac:dyDescent="0.25">
      <c r="B66" s="63" t="s">
        <v>38</v>
      </c>
      <c r="C66" s="63" t="s">
        <v>20</v>
      </c>
      <c r="D66" s="63" t="s">
        <v>21</v>
      </c>
    </row>
    <row r="67" spans="2:4" x14ac:dyDescent="0.25">
      <c r="B67" s="2" t="s">
        <v>22</v>
      </c>
      <c r="C67" s="64">
        <f>VLOOKUP($C$63&amp;"-"&amp;B67,'Tabela de Apoio'!$A:$D,4,FALSE)</f>
        <v>0.5</v>
      </c>
      <c r="D67" s="66">
        <f>$C$64*C67</f>
        <v>300</v>
      </c>
    </row>
    <row r="68" spans="2:4" x14ac:dyDescent="0.25">
      <c r="B68" s="2" t="s">
        <v>23</v>
      </c>
      <c r="C68" s="64">
        <f>VLOOKUP($C$63&amp;"-"&amp;B68,'Tabela de Apoio'!$A:$D,4,FALSE)</f>
        <v>0.1</v>
      </c>
      <c r="D68" s="66">
        <f>$C$64*C68</f>
        <v>60</v>
      </c>
    </row>
    <row r="69" spans="2:4" x14ac:dyDescent="0.25">
      <c r="B69" s="2" t="s">
        <v>26</v>
      </c>
      <c r="C69" s="64">
        <f>VLOOKUP($C$63&amp;"-"&amp;B69,'Tabela de Apoio'!$A:$D,4,FALSE)</f>
        <v>0.05</v>
      </c>
      <c r="D69" s="66">
        <f t="shared" ref="D69:D72" si="1">$C$64*C69</f>
        <v>30</v>
      </c>
    </row>
    <row r="70" spans="2:4" x14ac:dyDescent="0.25">
      <c r="B70" s="2" t="s">
        <v>25</v>
      </c>
      <c r="C70" s="64">
        <f>VLOOKUP($C$63&amp;"-"&amp;B70,'Tabela de Apoio'!$A:$D,4,FALSE)</f>
        <v>0.05</v>
      </c>
      <c r="D70" s="66">
        <f t="shared" si="1"/>
        <v>30</v>
      </c>
    </row>
    <row r="71" spans="2:4" x14ac:dyDescent="0.25">
      <c r="B71" s="2" t="s">
        <v>24</v>
      </c>
      <c r="C71" s="64">
        <f>VLOOKUP($C$63&amp;"-"&amp;B71,'Tabela de Apoio'!$A:$D,4,FALSE)</f>
        <v>0.2</v>
      </c>
      <c r="D71" s="66">
        <f t="shared" si="1"/>
        <v>120</v>
      </c>
    </row>
    <row r="72" spans="2:4" x14ac:dyDescent="0.25">
      <c r="B72" s="2" t="s">
        <v>27</v>
      </c>
      <c r="C72" s="64">
        <f>VLOOKUP($C$63&amp;"-"&amp;B72,'Tabela de Apoio'!$A:$D,4,FALSE)</f>
        <v>0.1</v>
      </c>
      <c r="D72" s="66">
        <f t="shared" si="1"/>
        <v>60</v>
      </c>
    </row>
    <row r="73" spans="2:4" x14ac:dyDescent="0.25">
      <c r="B73" s="16"/>
      <c r="C73" s="65"/>
      <c r="D73" s="67">
        <f>SUM(D67:D72)</f>
        <v>600</v>
      </c>
    </row>
    <row r="91" spans="1:4" ht="15.75" thickBot="1" x14ac:dyDescent="0.3"/>
    <row r="92" spans="1:4" ht="30.75" x14ac:dyDescent="0.25">
      <c r="B92" s="28" t="s">
        <v>10</v>
      </c>
      <c r="C92" s="29"/>
      <c r="D92" s="3" t="s">
        <v>11</v>
      </c>
    </row>
    <row r="93" spans="1:4" ht="18" thickBot="1" x14ac:dyDescent="0.35">
      <c r="A93" s="68">
        <v>0.3</v>
      </c>
      <c r="B93" s="52" t="s">
        <v>5</v>
      </c>
      <c r="C93" s="53">
        <f>FV(taxa_mensal,$A94*12,$C$64*-1)</f>
        <v>16336.57637858713</v>
      </c>
      <c r="D93" s="54">
        <f>C93*rendimento_carteira</f>
        <v>98.01945827152278</v>
      </c>
    </row>
    <row r="94" spans="1:4" ht="18" thickBot="1" x14ac:dyDescent="0.35">
      <c r="A94" s="1">
        <v>2</v>
      </c>
      <c r="B94" s="55" t="s">
        <v>6</v>
      </c>
      <c r="C94" s="53">
        <f>FV(taxa_mensal,$A95*12,$C$64*-1)</f>
        <v>50266.148399092584</v>
      </c>
      <c r="D94" s="54">
        <f>C94*rendimento_carteira</f>
        <v>301.59689039455549</v>
      </c>
    </row>
    <row r="95" spans="1:4" ht="18" thickBot="1" x14ac:dyDescent="0.35">
      <c r="A95" s="1">
        <v>5</v>
      </c>
      <c r="B95" s="55" t="s">
        <v>7</v>
      </c>
      <c r="C95" s="53">
        <f>FV(taxa_mensal,$A96*12,$C$64*-1)</f>
        <v>145970.52751810331</v>
      </c>
      <c r="D95" s="54">
        <f>C95*rendimento_carteira</f>
        <v>875.82316510861983</v>
      </c>
    </row>
    <row r="96" spans="1:4" ht="18" thickBot="1" x14ac:dyDescent="0.35">
      <c r="A96" s="1">
        <v>10</v>
      </c>
      <c r="B96" s="55" t="s">
        <v>8</v>
      </c>
      <c r="C96" s="53">
        <f>FV(taxa_mensal,$A97*12,$C$64*-1)</f>
        <v>675119.04005824833</v>
      </c>
      <c r="D96" s="54">
        <f>C96*rendimento_carteira</f>
        <v>4050.71424034949</v>
      </c>
    </row>
    <row r="97" spans="1:4" ht="18" thickBot="1" x14ac:dyDescent="0.35">
      <c r="A97" s="1">
        <v>20</v>
      </c>
      <c r="B97" s="57" t="s">
        <v>9</v>
      </c>
      <c r="C97" s="69">
        <f>FV(taxa_mensal,$A98*12,$C$64*-1)</f>
        <v>2593301.7930028285</v>
      </c>
      <c r="D97" s="59">
        <f>C97*rendimento_carteira</f>
        <v>15559.810758016971</v>
      </c>
    </row>
    <row r="98" spans="1:4" x14ac:dyDescent="0.25">
      <c r="A98" s="1">
        <v>30</v>
      </c>
    </row>
  </sheetData>
  <mergeCells count="13">
    <mergeCell ref="B11:D11"/>
    <mergeCell ref="B61:D61"/>
    <mergeCell ref="B92:C92"/>
    <mergeCell ref="B13:C13"/>
    <mergeCell ref="B12:C12"/>
    <mergeCell ref="B14:C14"/>
    <mergeCell ref="B16:D16"/>
    <mergeCell ref="B17:C17"/>
    <mergeCell ref="B23:C23"/>
    <mergeCell ref="B18:C18"/>
    <mergeCell ref="B19:C19"/>
    <mergeCell ref="B20:C20"/>
    <mergeCell ref="B21:C21"/>
  </mergeCells>
  <dataValidations count="1">
    <dataValidation type="list" allowBlank="1" showInputMessage="1" showErrorMessage="1" sqref="C32 C63" xr:uid="{691DAB09-E67C-407B-A830-3F428F5941AB}">
      <formula1>"Conservador, Moderado, Agressivo"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A4C4-EE77-437B-BBC2-DF2C18D08063}">
  <sheetPr>
    <tabColor theme="0" tint="-4.9989318521683403E-2"/>
  </sheetPr>
  <dimension ref="A2:H20"/>
  <sheetViews>
    <sheetView workbookViewId="0">
      <selection activeCell="H5" sqref="H5"/>
    </sheetView>
  </sheetViews>
  <sheetFormatPr defaultRowHeight="15" x14ac:dyDescent="0.25"/>
  <cols>
    <col min="1" max="1" width="25.7109375" customWidth="1"/>
    <col min="2" max="2" width="12.140625" bestFit="1" customWidth="1"/>
    <col min="3" max="3" width="19" bestFit="1" customWidth="1"/>
    <col min="7" max="7" width="19.5703125" customWidth="1"/>
    <col min="8" max="8" width="11.28515625" customWidth="1"/>
  </cols>
  <sheetData>
    <row r="2" spans="1:8" x14ac:dyDescent="0.25">
      <c r="A2" s="25" t="s">
        <v>29</v>
      </c>
      <c r="B2" s="25" t="s">
        <v>35</v>
      </c>
      <c r="C2" s="38" t="s">
        <v>36</v>
      </c>
      <c r="D2" s="26" t="s">
        <v>34</v>
      </c>
      <c r="G2" s="39" t="s">
        <v>33</v>
      </c>
      <c r="H2" s="39"/>
    </row>
    <row r="3" spans="1:8" x14ac:dyDescent="0.25">
      <c r="A3" t="str">
        <f>B3&amp;"-"&amp;C3</f>
        <v>Conservador-PAPEL</v>
      </c>
      <c r="B3" t="s">
        <v>28</v>
      </c>
      <c r="C3" s="2" t="s">
        <v>22</v>
      </c>
      <c r="D3" s="20">
        <v>0.3</v>
      </c>
      <c r="G3" s="39"/>
      <c r="H3" s="39"/>
    </row>
    <row r="4" spans="1:8" x14ac:dyDescent="0.25">
      <c r="A4" t="str">
        <f t="shared" ref="A4:A20" si="0">B4&amp;"-"&amp;C4</f>
        <v>Conservador-TIJOLO</v>
      </c>
      <c r="B4" t="s">
        <v>28</v>
      </c>
      <c r="C4" s="2" t="s">
        <v>23</v>
      </c>
      <c r="D4" s="20">
        <v>0.5</v>
      </c>
      <c r="G4" t="s">
        <v>29</v>
      </c>
      <c r="H4" t="s">
        <v>34</v>
      </c>
    </row>
    <row r="5" spans="1:8" x14ac:dyDescent="0.25">
      <c r="A5" t="str">
        <f t="shared" si="0"/>
        <v>Conservador-HÍBRIDOS</v>
      </c>
      <c r="B5" t="s">
        <v>28</v>
      </c>
      <c r="C5" s="2" t="s">
        <v>26</v>
      </c>
      <c r="D5" s="20">
        <v>0.1</v>
      </c>
      <c r="G5" s="11" t="s">
        <v>31</v>
      </c>
      <c r="H5" s="23">
        <f>VLOOKUP(G5,A:D,4,FALSE)</f>
        <v>0.35</v>
      </c>
    </row>
    <row r="6" spans="1:8" x14ac:dyDescent="0.25">
      <c r="A6" t="str">
        <f t="shared" si="0"/>
        <v>Conservador-FOFs</v>
      </c>
      <c r="B6" t="s">
        <v>28</v>
      </c>
      <c r="C6" s="2" t="s">
        <v>25</v>
      </c>
      <c r="D6" s="20">
        <v>0.1</v>
      </c>
    </row>
    <row r="7" spans="1:8" x14ac:dyDescent="0.25">
      <c r="A7" t="str">
        <f t="shared" si="0"/>
        <v>Conservador-DESENVOLVIMENTO</v>
      </c>
      <c r="B7" t="s">
        <v>28</v>
      </c>
      <c r="C7" s="2" t="s">
        <v>24</v>
      </c>
      <c r="D7" s="20">
        <v>0</v>
      </c>
    </row>
    <row r="8" spans="1:8" x14ac:dyDescent="0.25">
      <c r="A8" t="str">
        <f t="shared" si="0"/>
        <v>Conservador-HOTELARIAS</v>
      </c>
      <c r="B8" t="s">
        <v>28</v>
      </c>
      <c r="C8" s="2" t="s">
        <v>27</v>
      </c>
      <c r="D8" s="20">
        <v>0</v>
      </c>
    </row>
    <row r="9" spans="1:8" x14ac:dyDescent="0.25">
      <c r="A9" s="17" t="str">
        <f t="shared" si="0"/>
        <v>Moderado-PAPEL</v>
      </c>
      <c r="B9" s="17" t="s">
        <v>30</v>
      </c>
      <c r="C9" s="18" t="s">
        <v>22</v>
      </c>
      <c r="D9" s="21">
        <v>0.32</v>
      </c>
    </row>
    <row r="10" spans="1:8" x14ac:dyDescent="0.25">
      <c r="A10" t="str">
        <f t="shared" si="0"/>
        <v>Moderado-TIJOLO</v>
      </c>
      <c r="B10" t="s">
        <v>30</v>
      </c>
      <c r="C10" s="2" t="s">
        <v>23</v>
      </c>
      <c r="D10" s="20">
        <v>0.35</v>
      </c>
    </row>
    <row r="11" spans="1:8" x14ac:dyDescent="0.25">
      <c r="A11" t="str">
        <f t="shared" si="0"/>
        <v>Moderado-HÍBRIDOS</v>
      </c>
      <c r="B11" t="s">
        <v>30</v>
      </c>
      <c r="C11" s="2" t="s">
        <v>26</v>
      </c>
      <c r="D11" s="22">
        <v>0.08</v>
      </c>
    </row>
    <row r="12" spans="1:8" x14ac:dyDescent="0.25">
      <c r="A12" t="str">
        <f t="shared" si="0"/>
        <v>Moderado-FOFs</v>
      </c>
      <c r="B12" t="s">
        <v>30</v>
      </c>
      <c r="C12" s="2" t="s">
        <v>25</v>
      </c>
      <c r="D12" s="22">
        <v>0.05</v>
      </c>
    </row>
    <row r="13" spans="1:8" x14ac:dyDescent="0.25">
      <c r="A13" t="str">
        <f t="shared" si="0"/>
        <v>Moderado-DESENVOLVIMENTO</v>
      </c>
      <c r="B13" t="s">
        <v>30</v>
      </c>
      <c r="C13" s="2" t="s">
        <v>24</v>
      </c>
      <c r="D13" s="22">
        <v>0.1</v>
      </c>
    </row>
    <row r="14" spans="1:8" x14ac:dyDescent="0.25">
      <c r="A14" t="str">
        <f t="shared" si="0"/>
        <v>Moderado-HOTELARIAS</v>
      </c>
      <c r="B14" t="s">
        <v>30</v>
      </c>
      <c r="C14" s="2" t="s">
        <v>27</v>
      </c>
      <c r="D14" s="22">
        <v>0.1</v>
      </c>
    </row>
    <row r="15" spans="1:8" x14ac:dyDescent="0.25">
      <c r="A15" s="17" t="str">
        <f t="shared" si="0"/>
        <v>Agressivo-PAPEL</v>
      </c>
      <c r="B15" s="17" t="s">
        <v>16</v>
      </c>
      <c r="C15" s="18" t="s">
        <v>22</v>
      </c>
      <c r="D15" s="21">
        <v>0.5</v>
      </c>
    </row>
    <row r="16" spans="1:8" x14ac:dyDescent="0.25">
      <c r="A16" t="str">
        <f t="shared" si="0"/>
        <v>Agressivo-TIJOLO</v>
      </c>
      <c r="B16" t="s">
        <v>16</v>
      </c>
      <c r="C16" s="2" t="s">
        <v>23</v>
      </c>
      <c r="D16" s="22">
        <v>0.1</v>
      </c>
    </row>
    <row r="17" spans="1:4" x14ac:dyDescent="0.25">
      <c r="A17" t="str">
        <f t="shared" si="0"/>
        <v>Agressivo-HÍBRIDOS</v>
      </c>
      <c r="B17" t="s">
        <v>16</v>
      </c>
      <c r="C17" s="2" t="s">
        <v>26</v>
      </c>
      <c r="D17" s="22">
        <v>0.05</v>
      </c>
    </row>
    <row r="18" spans="1:4" x14ac:dyDescent="0.25">
      <c r="A18" t="str">
        <f t="shared" si="0"/>
        <v>Agressivo-FOFs</v>
      </c>
      <c r="B18" t="s">
        <v>16</v>
      </c>
      <c r="C18" s="2" t="s">
        <v>25</v>
      </c>
      <c r="D18" s="22">
        <v>0.05</v>
      </c>
    </row>
    <row r="19" spans="1:4" x14ac:dyDescent="0.25">
      <c r="A19" t="str">
        <f t="shared" si="0"/>
        <v>Agressivo-DESENVOLVIMENTO</v>
      </c>
      <c r="B19" t="s">
        <v>16</v>
      </c>
      <c r="C19" s="2" t="s">
        <v>24</v>
      </c>
      <c r="D19" s="22">
        <v>0.2</v>
      </c>
    </row>
    <row r="20" spans="1:4" x14ac:dyDescent="0.25">
      <c r="A20" t="str">
        <f t="shared" si="0"/>
        <v>Agressivo-HOTELARIAS</v>
      </c>
      <c r="B20" t="s">
        <v>16</v>
      </c>
      <c r="C20" s="2" t="s">
        <v>27</v>
      </c>
      <c r="D20" s="22">
        <v>0.1</v>
      </c>
    </row>
  </sheetData>
  <mergeCells count="1">
    <mergeCell ref="G2:H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Tabela de Apoio</vt:lpstr>
      <vt:lpstr>aporte</vt:lpstr>
      <vt:lpstr>patrimonioacumulado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Gabryel Souza</dc:creator>
  <cp:lastModifiedBy>Gabryel Souza</cp:lastModifiedBy>
  <dcterms:created xsi:type="dcterms:W3CDTF">2015-06-05T18:19:34Z</dcterms:created>
  <dcterms:modified xsi:type="dcterms:W3CDTF">2026-01-02T00:05:32Z</dcterms:modified>
</cp:coreProperties>
</file>